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escvarkev\surfdrive\Documents\PhD\ThresholdAnalysis\"/>
    </mc:Choice>
  </mc:AlternateContent>
  <xr:revisionPtr revIDLastSave="0" documentId="13_ncr:1_{783572A6-E05F-4BC8-BA63-974460DC3C14}" xr6:coauthVersionLast="47" xr6:coauthVersionMax="47" xr10:uidLastSave="{00000000-0000-0000-0000-000000000000}"/>
  <bookViews>
    <workbookView xWindow="-108" yWindow="-108" windowWidth="23256" windowHeight="12720" activeTab="1" xr2:uid="{A90C1426-323D-40BD-94C2-F96AD5AFB186}"/>
  </bookViews>
  <sheets>
    <sheet name="Overview" sheetId="1" r:id="rId1"/>
    <sheet name="DataSets" sheetId="3" r:id="rId2"/>
    <sheet name="References" sheetId="2" r:id="rId3"/>
    <sheet name="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3" l="1"/>
  <c r="K20" i="3"/>
  <c r="K19" i="3"/>
  <c r="K18" i="3"/>
  <c r="K17" i="3"/>
  <c r="J21" i="3"/>
  <c r="J20" i="3"/>
  <c r="J19" i="3"/>
  <c r="J18" i="3"/>
  <c r="J17" i="3"/>
</calcChain>
</file>

<file path=xl/sharedStrings.xml><?xml version="1.0" encoding="utf-8"?>
<sst xmlns="http://schemas.openxmlformats.org/spreadsheetml/2006/main" count="332" uniqueCount="165">
  <si>
    <t>Source</t>
  </si>
  <si>
    <t>Impedance Data</t>
  </si>
  <si>
    <t>Threshold Data</t>
  </si>
  <si>
    <t>Subject</t>
  </si>
  <si>
    <t>Application</t>
  </si>
  <si>
    <t>Electrodes</t>
  </si>
  <si>
    <t># Datasets</t>
  </si>
  <si>
    <t>[1]</t>
  </si>
  <si>
    <t>Y</t>
  </si>
  <si>
    <t>Monkey</t>
  </si>
  <si>
    <t>UEA</t>
  </si>
  <si>
    <t>[2]</t>
  </si>
  <si>
    <t>Human</t>
  </si>
  <si>
    <r>
      <t xml:space="preserve">Fernández, E., Alfaro, A., Soto-Sánchez, C., Gonzalez-Lopez, P., Lozano, A. M., Peña, S., Grima, M. D., Rodil, A., Gómez, B., Chen, X., Roelfsema, P. R., Rolston, J. D., Davis, T. S., &amp; Normann, R. A. (2021). Visual percepts evoked with an intracortical 96-channel microelectrode array inserted in human occipital cortex. </t>
    </r>
    <r>
      <rPr>
        <i/>
        <sz val="11"/>
        <color theme="1"/>
        <rFont val="Aptos Narrow"/>
        <family val="2"/>
        <scheme val="minor"/>
      </rPr>
      <t>Journal of Clinical Investigation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131</t>
    </r>
    <r>
      <rPr>
        <sz val="11"/>
        <color theme="1"/>
        <rFont val="Aptos Narrow"/>
        <family val="2"/>
        <scheme val="minor"/>
      </rPr>
      <t>(23). https://doi.org/10.1172/JCI151331</t>
    </r>
  </si>
  <si>
    <t>Keywords</t>
  </si>
  <si>
    <r>
      <t xml:space="preserve">Chen, X., Wang, F., Kooijmans, R., Klink, P. C., Boehler, C., Asplund, M., &amp; Roelfsema, P. R. (2023). Chronic stability of a neuroprosthesis comprising multiple adjacent Utah arrays in monkeys.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20</t>
    </r>
    <r>
      <rPr>
        <sz val="11"/>
        <color theme="1"/>
        <rFont val="Aptos Narrow"/>
        <family val="2"/>
        <scheme val="minor"/>
      </rPr>
      <t>(3). https://doi.org/10.1088/1741-2552/ace07e</t>
    </r>
  </si>
  <si>
    <t>non-human primate, V1, V4, blindness, neuroprosthesis, microstimulation, Utah arrays</t>
  </si>
  <si>
    <t>-</t>
  </si>
  <si>
    <t>[3]</t>
  </si>
  <si>
    <r>
      <t xml:space="preserve">Flesher, S. N., Collinger, J. L., Foldes, S. T., Weiss, J. M., Downey, J. E., Tyler-Kabara, E. C., Bensmaia, S. J., Schwartz, A. B., Boninger, M. L., &amp; Gaunt, R. A. (2016). Intracortical microstimulation of human somatosensory cortex. </t>
    </r>
    <r>
      <rPr>
        <i/>
        <sz val="11"/>
        <color theme="1"/>
        <rFont val="Aptos Narrow"/>
        <family val="2"/>
        <scheme val="minor"/>
      </rPr>
      <t>Science Translational Medicine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(361). https://doi.org/10.1126/scitranslmed.aaf8083</t>
    </r>
  </si>
  <si>
    <t>N</t>
  </si>
  <si>
    <t>Somatosensory</t>
  </si>
  <si>
    <t>[4]</t>
  </si>
  <si>
    <t>Mouse</t>
  </si>
  <si>
    <t>Neuronexus</t>
  </si>
  <si>
    <t>neuroprostheses, cortex, brain computer interface, foreign body response (FBR), microelectrode array, glial scar, microglia</t>
  </si>
  <si>
    <t>[5]</t>
  </si>
  <si>
    <t>V1</t>
  </si>
  <si>
    <t>Notes</t>
  </si>
  <si>
    <t>Also shows voltage transients</t>
  </si>
  <si>
    <r>
      <t xml:space="preserve">Urdaneta, M. E., Kunigk, N. G., Currlin, S., Delgado, F., Fried, S. I., &amp; Otto, K. J. (2022). The Long-Term Stability of Intracortical Microstimulation and the Foreign Body Response Are Layer Dependent. </t>
    </r>
    <r>
      <rPr>
        <i/>
        <sz val="11"/>
        <color theme="1"/>
        <rFont val="Aptos Narrow"/>
        <family val="2"/>
        <scheme val="minor"/>
      </rPr>
      <t>Frontiers in Neuroscience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16</t>
    </r>
    <r>
      <rPr>
        <sz val="11"/>
        <color theme="1"/>
        <rFont val="Aptos Narrow"/>
        <family val="2"/>
        <scheme val="minor"/>
      </rPr>
      <t>. https://doi.org/10.3389/fnins.2022.908858</t>
    </r>
  </si>
  <si>
    <r>
      <t xml:space="preserve">Davis, T. S., Parker, R. A., House, P. A., Bagley, E., Wendelken, S., Normann, R. A., &amp; Greger, B. (2012). Spatial and temporal characteristics of V1 microstimulation during chronic implantation of a microelectrode array in a behaving macaque.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9</t>
    </r>
    <r>
      <rPr>
        <sz val="11"/>
        <color theme="1"/>
        <rFont val="Aptos Narrow"/>
        <family val="2"/>
        <scheme val="minor"/>
      </rPr>
      <t>(6). https://doi.org/10.1088/1741-2560/9/6/065003</t>
    </r>
  </si>
  <si>
    <t>[6]</t>
  </si>
  <si>
    <t>Same authors as [3], perhaps could complete data together</t>
  </si>
  <si>
    <r>
      <t xml:space="preserve">Hughes, C. L., Flesher, S. N., Weiss, J. M., Downey, J. E., Boninger, M., Collinger, J. L., &amp; Gaunt, R. A. (2021). Neural stimulation and recording performance in human sensorimotor cortex over 1500 days.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18</t>
    </r>
    <r>
      <rPr>
        <sz val="11"/>
        <color theme="1"/>
        <rFont val="Aptos Narrow"/>
        <family val="2"/>
        <scheme val="minor"/>
      </rPr>
      <t>(4). https://doi.org/10.1088/1741-2552/ac18ad</t>
    </r>
  </si>
  <si>
    <t>[7]</t>
  </si>
  <si>
    <t>brain-machine interface, brain-computer interface, macaque</t>
  </si>
  <si>
    <t>[8]</t>
  </si>
  <si>
    <r>
      <t xml:space="preserve">Rajan, A. T., Boback, J. L., Dammann, J. F., Tenore, F. v., Wester, B. A., Otto, K. J., Gaunt, R. A., &amp; Bensmaia, S. J. (2015). The effects of chronic intracortical microstimulation on neural tissue and fine motor behavior.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(6). https://doi.org/10.1088/1741-2560/12/6/066018</t>
    </r>
  </si>
  <si>
    <t>histopathology, neuronal density, neuronal damage, somatosensory cortex, neuroprosthetics, sensory feedback</t>
  </si>
  <si>
    <t>[9]</t>
  </si>
  <si>
    <t>intracortical microstimulation, electrode–tissue interface, impedance, voltage excursion</t>
  </si>
  <si>
    <t>intracortical microstimulation, microelectrode arrays, somatosensory cortex, brain–computer interfaces</t>
  </si>
  <si>
    <t>?</t>
  </si>
  <si>
    <r>
      <t xml:space="preserve">Orlemann, C., Boehler, C., Kooijmans, R. N., Li, B., Asplund, M., &amp; Roelfsema, P. R. (2024). Flexible Polymer Electrodes for Stable Prosthetic Visual Perception in Mice. </t>
    </r>
    <r>
      <rPr>
        <i/>
        <sz val="11"/>
        <color theme="1"/>
        <rFont val="Aptos Narrow"/>
        <family val="2"/>
        <scheme val="minor"/>
      </rPr>
      <t>Advanced Healthcare Materials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13</t>
    </r>
    <r>
      <rPr>
        <sz val="11"/>
        <color theme="1"/>
        <rFont val="Aptos Narrow"/>
        <family val="2"/>
        <scheme val="minor"/>
      </rPr>
      <t>(15). https://doi.org/10.1002/adhm.202304169</t>
    </r>
  </si>
  <si>
    <t>[10]</t>
  </si>
  <si>
    <t>IMTEK</t>
  </si>
  <si>
    <t>Also report voltage transients (peak-peak)</t>
  </si>
  <si>
    <t>bioengineering, cortical implant, microelectrodes, vision, visual prosthesis</t>
  </si>
  <si>
    <r>
      <t xml:space="preserve">Titchener, S. A., Nayagam, D. A. X., Kvansakul, J., Kolic, M., Baglin, E. K., Abbott, C. J., McGuinness, M. B., Ayton, L. N., Luu, C. D., Greenstein, S., Kentler, W. G., Shivdasani, M. N., Allen, P. J., &amp; Petoe, M. A. (2022). A Second-Generation (44-Channel) Suprachoroidal Retinal Prosthesis: Long-Term Observation of the Electrode–Tissue Interface. </t>
    </r>
    <r>
      <rPr>
        <i/>
        <sz val="11"/>
        <color theme="1"/>
        <rFont val="Aptos Narrow"/>
        <family val="2"/>
        <scheme val="minor"/>
      </rPr>
      <t>Translational Vision Science and Technology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(6). https://doi.org/10.1167/tvst.11.6.12</t>
    </r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</si>
  <si>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</si>
  <si>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</si>
  <si>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</si>
  <si>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</si>
  <si>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</si>
  <si>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</si>
  <si>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</si>
  <si>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</si>
  <si>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</si>
  <si>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</si>
  <si>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Retina</t>
  </si>
  <si>
    <t>Custom</t>
  </si>
  <si>
    <t>Threshold data is limited, but Impedance analysis very extensive</t>
  </si>
  <si>
    <t>retinal implant; visual prosthesis; retinitis pigmentosa</t>
  </si>
  <si>
    <r>
      <t xml:space="preserve">Finn, K. E., Zander, H. J., Graham, R. D., Lempka, S. F., &amp; Weiland, J. D. (2020). A patient-specific computational framework for the Argus II implant. </t>
    </r>
    <r>
      <rPr>
        <i/>
        <sz val="11"/>
        <color theme="1"/>
        <rFont val="Aptos Narrow"/>
        <family val="2"/>
        <scheme val="minor"/>
      </rPr>
      <t>IEEE Open Journal of Engineering in Medicine and Biology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, 190–196. https://doi.org/10.1109/OJEMB.2020.3001563</t>
    </r>
  </si>
  <si>
    <t>Argus II</t>
  </si>
  <si>
    <t>Focus on model development, but also compares to patient data.</t>
  </si>
  <si>
    <r>
      <t xml:space="preserve">George, J. A., Page, D. M., Davis, T. S., Duncan, C. C., Hutchinson, D. T., Rieth, L. W., &amp; Clark, G. A. (2020). Long-term performance of Utah slanted electrode arrays and intramuscular electromyographic leads implanted chronically in human arm nerves and muscles.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17</t>
    </r>
    <r>
      <rPr>
        <sz val="11"/>
        <color theme="1"/>
        <rFont val="Aptos Narrow"/>
        <family val="2"/>
        <scheme val="minor"/>
      </rPr>
      <t>(5). https://doi.org/10.1088/1741-2552/abc025</t>
    </r>
  </si>
  <si>
    <t>Muscles</t>
  </si>
  <si>
    <t>Slanted UEA</t>
  </si>
  <si>
    <r>
      <t xml:space="preserve">Muceli, S., Poppendieck, W., Hoffmann, K. P., Dosen, S., Benito-León, J., Barroso, F. O., Pons, J. L., &amp; Farina, D. (2019). A thin-film multichannel electrode for muscle recording and stimulation in neuroprosthetics applications.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16</t>
    </r>
    <r>
      <rPr>
        <sz val="11"/>
        <color theme="1"/>
        <rFont val="Aptos Narrow"/>
        <family val="2"/>
        <scheme val="minor"/>
      </rPr>
      <t>(2). https://doi.org/10.1088/1741-2552/ab047a</t>
    </r>
  </si>
  <si>
    <t>Not sure if the impedance data is useful</t>
  </si>
  <si>
    <r>
      <t xml:space="preserve">Spencer, T. C., Fallon, J. B., Thien, P. C., &amp; Shivdasani, M. N. (2016). Spatial restriction of neural activation using focused multipolar stimulation with a retinal prosthesis. </t>
    </r>
    <r>
      <rPr>
        <i/>
        <sz val="11"/>
        <color theme="1"/>
        <rFont val="Aptos Narrow"/>
        <family val="2"/>
        <scheme val="minor"/>
      </rPr>
      <t>Investigative Ophthalmology and Visual Science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57</t>
    </r>
    <r>
      <rPr>
        <sz val="11"/>
        <color theme="1"/>
        <rFont val="Aptos Narrow"/>
        <family val="2"/>
        <scheme val="minor"/>
      </rPr>
      <t>(7), 3181–3191. https://doi.org/10.1167/iovs.16-19325</t>
    </r>
  </si>
  <si>
    <t>Cats</t>
  </si>
  <si>
    <t>Also presents a focusing method, could be interesting for the other paper</t>
  </si>
  <si>
    <r>
      <t xml:space="preserve">Tan, D. W., Schiefer, M. A., Keith, M. W., Anderson, J. R., &amp; Tyler, D. J. (2015). Stability and selectivity of a chronic, multi-contact cuff electrode for sensory stimulation in human amputees.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12</t>
    </r>
    <r>
      <rPr>
        <sz val="11"/>
        <color theme="1"/>
        <rFont val="Aptos Narrow"/>
        <family val="2"/>
        <scheme val="minor"/>
      </rPr>
      <t>(2). https://doi.org/10.1088/1741-2560/12/2/026002</t>
    </r>
  </si>
  <si>
    <t>Arm</t>
  </si>
  <si>
    <t>FINE</t>
  </si>
  <si>
    <r>
      <t xml:space="preserve">Yue, L., Falabella, P., Christopher, P., Wuyyuru, V., Dorn, J., Schor, P., Greenberg, R. J., Weiland, J. D., &amp; Humayun, M. S. (2015). Ten-year follow-up of a blind patient chronically implanted with epiretinal prosthesis argus i. </t>
    </r>
    <r>
      <rPr>
        <i/>
        <sz val="11"/>
        <color theme="1"/>
        <rFont val="Aptos Narrow"/>
        <family val="2"/>
        <scheme val="minor"/>
      </rPr>
      <t>Ophthalmology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122</t>
    </r>
    <r>
      <rPr>
        <sz val="11"/>
        <color theme="1"/>
        <rFont val="Aptos Narrow"/>
        <family val="2"/>
        <scheme val="minor"/>
      </rPr>
      <t>(12), 2545-2552.e1. https://doi.org/10.1016/j.ophtha.2015.08.008</t>
    </r>
  </si>
  <si>
    <t>~</t>
  </si>
  <si>
    <t xml:space="preserve">Human </t>
  </si>
  <si>
    <t>Argus I</t>
  </si>
  <si>
    <t>Also voltage exursion</t>
  </si>
  <si>
    <r>
      <t xml:space="preserve">Chen, K. H., Dammann, J. F., Boback, J. L., Tenore, F. v., Otto, K. J., Gaunt, R. A., &amp; Bensmaia, S. J. (2014). The effect of chronic intracortical microstimulation on the electrode-tissue interface.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11</t>
    </r>
    <r>
      <rPr>
        <sz val="11"/>
        <color theme="1"/>
        <rFont val="Aptos Narrow"/>
        <family val="2"/>
        <scheme val="minor"/>
      </rPr>
      <t>(2). https://doi.org/10.1088/1741-2560/11/2/026004</t>
    </r>
  </si>
  <si>
    <r>
      <t xml:space="preserve">Wang, C., Brunton, E., Haghgooie, S., Cassells, K., Lowery, A., &amp; Rajan, R. (2013). Characteristics of electrode impedance and stimulation efficacy of a chronic cortical implant using novel annulus electrodes in rat motor cortex.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>(4). https://doi.org/10.1088/1741-2560/10/4/046010</t>
    </r>
  </si>
  <si>
    <t>Rat</t>
  </si>
  <si>
    <t>motor cortex</t>
  </si>
  <si>
    <r>
      <t xml:space="preserve">Torab, K., Davis, T. S., Warren, D. J., House, P. A., Normann, R. A., &amp; Greger, B. (2011). Multiple factors may influence the performance of a visual prosthesis based on intracortical microstimulation: Nonhuman primate behavioural experimentation.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8</t>
    </r>
    <r>
      <rPr>
        <sz val="11"/>
        <color theme="1"/>
        <rFont val="Aptos Narrow"/>
        <family val="2"/>
        <scheme val="minor"/>
      </rPr>
      <t>(3). https://doi.org/10.1088/1741-2560/8/3/035001</t>
    </r>
  </si>
  <si>
    <t>Potentially the same data as for [5]</t>
  </si>
  <si>
    <r>
      <t xml:space="preserve">de Balthasar, C., Patel, S., Roy, A., Freda, R., Greenwald, S., Horsager, A., Mahadevappa, M., Yanai, D., McMahon, M. J., Humayun, M. S., Greenberg, R. J., Weiland, J. D., &amp; Fine, I. (2008). Factors affecting perceptual thresholds in epiretinal prostheses. </t>
    </r>
    <r>
      <rPr>
        <i/>
        <sz val="11"/>
        <color theme="1"/>
        <rFont val="Aptos Narrow"/>
        <family val="2"/>
        <scheme val="minor"/>
      </rPr>
      <t>Investigative Ophthalmology and Visual Science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49</t>
    </r>
    <r>
      <rPr>
        <sz val="11"/>
        <color theme="1"/>
        <rFont val="Aptos Narrow"/>
        <family val="2"/>
        <scheme val="minor"/>
      </rPr>
      <t>(6), 2303–2314. https://doi.org/10.1167/iovs.07-0696</t>
    </r>
  </si>
  <si>
    <t>Describes many factors and relations</t>
  </si>
  <si>
    <r>
      <t xml:space="preserve">Mahadevappa, M., Weiland, J. D., Yanai, D., Fine, I., Greenberg, R. J., &amp; Humayun, M. S. (2005). Perceptual thresholds and electrode impedance in three retinal prosthesis subjects. </t>
    </r>
    <r>
      <rPr>
        <i/>
        <sz val="11"/>
        <color theme="1"/>
        <rFont val="Aptos Narrow"/>
        <family val="2"/>
        <scheme val="minor"/>
      </rPr>
      <t>IEEE Transactions on Neural Systems and Rehabilitation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13</t>
    </r>
    <r>
      <rPr>
        <sz val="11"/>
        <color theme="1"/>
        <rFont val="Aptos Narrow"/>
        <family val="2"/>
        <scheme val="minor"/>
      </rPr>
      <t>(2), 201–206. https://doi.org/10.1109/TNSRE.2005.848687</t>
    </r>
  </si>
  <si>
    <t>[21]</t>
  </si>
  <si>
    <t>Same group as [20]</t>
  </si>
  <si>
    <t>Same authors as [6], perhaps could complete data together</t>
  </si>
  <si>
    <r>
      <t xml:space="preserve">Rousche, P. J., &amp; Normann, R. A. (1999). Chronic Intracortical Microstimulation (ICMS) of Cat Sensory Cortex Using the Utah Intracortical Electrode Array. In </t>
    </r>
    <r>
      <rPr>
        <i/>
        <sz val="11"/>
        <color theme="1"/>
        <rFont val="Aptos Narrow"/>
        <family val="2"/>
        <scheme val="minor"/>
      </rPr>
      <t>IEEE TRANSACTIONS ON REHABILITATION ENGINEERING</t>
    </r>
    <r>
      <rPr>
        <sz val="11"/>
        <color theme="1"/>
        <rFont val="Aptos Narrow"/>
        <family val="2"/>
        <scheme val="minor"/>
      </rPr>
      <t xml:space="preserve"> (Vol. 7, Issue 1).</t>
    </r>
  </si>
  <si>
    <t>[22]</t>
  </si>
  <si>
    <t>Utah</t>
  </si>
  <si>
    <t>Shows voltage transients as well as impedance measurements</t>
  </si>
  <si>
    <t>Study</t>
  </si>
  <si>
    <t>Dataset</t>
  </si>
  <si>
    <t>Imean</t>
  </si>
  <si>
    <t>ISD</t>
  </si>
  <si>
    <t>Imedian</t>
  </si>
  <si>
    <t>IIQR</t>
  </si>
  <si>
    <t>Imin</t>
  </si>
  <si>
    <t>Imax</t>
  </si>
  <si>
    <t>Zmean</t>
  </si>
  <si>
    <t>ZSD</t>
  </si>
  <si>
    <t>Zmedian</t>
  </si>
  <si>
    <t>ZIQR</t>
  </si>
  <si>
    <t>Zmin</t>
  </si>
  <si>
    <t>Zmax</t>
  </si>
  <si>
    <t>Zn</t>
  </si>
  <si>
    <t>In</t>
  </si>
  <si>
    <t>Monkey L, early</t>
  </si>
  <si>
    <t>Monkey A, early</t>
  </si>
  <si>
    <t>Monkey A, late</t>
  </si>
  <si>
    <t>Monkey L, late</t>
  </si>
  <si>
    <t>NHP</t>
  </si>
  <si>
    <t>Target</t>
  </si>
  <si>
    <t>Impedance data taken from pre-pulsing experiment</t>
  </si>
  <si>
    <t>wrist flexor</t>
  </si>
  <si>
    <t>extensor</t>
  </si>
  <si>
    <t>sensory feedback</t>
  </si>
  <si>
    <t>Sensory</t>
  </si>
  <si>
    <t>Limited information on distribution</t>
  </si>
  <si>
    <t>Small sample sizes, just mention this as an alternative application with representative figures.</t>
  </si>
  <si>
    <t>S4, 260um</t>
  </si>
  <si>
    <t>S5, 260um</t>
  </si>
  <si>
    <t>S6, 260um</t>
  </si>
  <si>
    <t>S4, 520um</t>
  </si>
  <si>
    <t>S5, 520um</t>
  </si>
  <si>
    <t>S6, 520um</t>
  </si>
  <si>
    <t>Single pulse thresholds</t>
  </si>
  <si>
    <t>S1, median</t>
  </si>
  <si>
    <t>S1, ulnar</t>
  </si>
  <si>
    <t>S1, radial</t>
  </si>
  <si>
    <t>S2, median</t>
  </si>
  <si>
    <t>S2, radial</t>
  </si>
  <si>
    <r>
      <t xml:space="preserve">Davis, T. S., Wark, H. A. C., Hutchinson, D. T., Warren, D. J., O’Neill, K., Scheinblum, T., Clark, G. A., Normann, R. A., &amp; Greger, B. (2016). Restoring motor control and sensory feedback in people with upper extremity amputations using arrays of 96 microelectrodes implanted in the median and ulnar nerves.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13</t>
    </r>
    <r>
      <rPr>
        <sz val="11"/>
        <color theme="1"/>
        <rFont val="Aptos Narrow"/>
        <family val="2"/>
        <scheme val="minor"/>
      </rPr>
      <t>(3). https://doi.org/10.1088/1741-2560/13/3/036001</t>
    </r>
  </si>
  <si>
    <t>[23]</t>
  </si>
  <si>
    <t>PNS</t>
  </si>
  <si>
    <t>USEA</t>
  </si>
  <si>
    <t>Sensory feedback stimulation</t>
  </si>
  <si>
    <t>1-M</t>
  </si>
  <si>
    <t>2-U</t>
  </si>
  <si>
    <r>
      <t xml:space="preserve">Cao, P., Sun, J., Yan, Y., Chen, Y., Chai, X., Sun, X., Ren, Q., &amp; Li, L. (2015). Properties of electrically evoked potentials activated by optic nerve stimulation with penetrating electrodes of different modes in rabbits. </t>
    </r>
    <r>
      <rPr>
        <i/>
        <sz val="11"/>
        <color theme="1"/>
        <rFont val="Aptos Narrow"/>
        <family val="2"/>
        <scheme val="minor"/>
      </rPr>
      <t>Graefe’s Archive for Clinical and Experimental Ophthalmology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253</t>
    </r>
    <r>
      <rPr>
        <sz val="11"/>
        <color theme="1"/>
        <rFont val="Aptos Narrow"/>
        <family val="2"/>
        <scheme val="minor"/>
      </rPr>
      <t>(12), 2171–2180. https://doi.org/10.1007/s00417-015-3121-0</t>
    </r>
  </si>
  <si>
    <r>
      <t xml:space="preserve">Demchinsky, A. M., Shaimov, T. B., Goranskaya, D. N., Moiseeva, I. v., Kuznetsov, D. I., Kuleshov, D. S., &amp; Polikanov, D. v. (2019). The first deaf-blind patient in Russia with Argus II retinal prosthesis system: What he sees and why. </t>
    </r>
    <r>
      <rPr>
        <i/>
        <sz val="11"/>
        <color theme="1"/>
        <rFont val="Aptos Narrow"/>
        <family val="2"/>
        <scheme val="minor"/>
      </rPr>
      <t>Journal of Neural Engineering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16</t>
    </r>
    <r>
      <rPr>
        <sz val="11"/>
        <color theme="1"/>
        <rFont val="Aptos Narrow"/>
        <family val="2"/>
        <scheme val="minor"/>
      </rPr>
      <t>(2). https://doi.org/10.1088/1741-2552/aafc76</t>
    </r>
  </si>
  <si>
    <t>[25]</t>
  </si>
  <si>
    <t>Units seem incorrect, contacted author</t>
  </si>
  <si>
    <t xml:space="preserve">       161, 169, 234, 355, 468, 548, 645, 129, 113, 101, 105, 117, 202,</t>
  </si>
  <si>
    <t xml:space="preserve">       274, 387, 516, 677, 101, 113,  93,  81,  93, 129, 323, 468, 516,</t>
  </si>
  <si>
    <t xml:space="preserve">        73,  85,  77,  65,  69, 113, 339, 581, 613,  65,  44,  36,  48,</t>
  </si>
  <si>
    <t xml:space="preserve">        48,  73, 387]</t>
  </si>
  <si>
    <t>[177, 161, 250, 218, 274, 339, 419, 516, 581, 677, 153,  97, 121,</t>
  </si>
  <si>
    <t>[7.2, 6.6, 6.5, 7.3, 6.1, 5.3, 5.5, 5.8, 6.6, 6.8, 7.3, 6.1, 6.7,</t>
  </si>
  <si>
    <t xml:space="preserve">       5.2, 5.7, 5. , 4.2, 4.3, 5.6, 5.8, 6.9, 6.2, 6.8, 5.7, 5.8, 5.4,</t>
  </si>
  <si>
    <t xml:space="preserve">       4.9, 4.7, 4.8, 4.4, 7.4, 6.2, 6.5, 6.1, 4.5, 3.8, 4. , 2.7, 2.7,</t>
  </si>
  <si>
    <t xml:space="preserve">       2.8, 7.1, 5.4, 5.8, 6.4, 3.8, 4.1, 2.8, 0.9, 1.2, 3.7, 7.3, 6.8,</t>
  </si>
  <si>
    <t xml:space="preserve">       4.4, 5.7, 7.1, 4.5, 4.3, 2.5, 0.4, 0.3]</t>
  </si>
  <si>
    <t>Impedance (kOhm ?)</t>
  </si>
  <si>
    <t>Threshold (uA)</t>
  </si>
  <si>
    <t>Human retina</t>
  </si>
  <si>
    <t>iPNS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</si>
</sst>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1" fontId="0" fillId="0" borderId="0" xfId="0" applyNumberFormat="1"/>
    <xf numFmtId="11" fontId="0" fillId="2" borderId="0" xfId="0" applyNumberFormat="1" applyFill="1"/>
    <xf numFmtId="1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E2EB-1457-4C92-9328-494A5CA2ADDA}">
  <dimension ref="A1:I25"/>
  <sheetViews>
    <sheetView workbookViewId="0">
      <selection activeCell="J25" sqref="J25"/>
    </sheetView>
  </sheetViews>
  <sheetFormatPr defaultRowHeight="14.4" x14ac:dyDescent="0.3"/>
  <cols>
    <col min="5" max="5" width="14.33203125" bestFit="1" customWidth="1"/>
    <col min="6" max="6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28</v>
      </c>
    </row>
    <row r="2" spans="1:9" x14ac:dyDescent="0.3">
      <c r="A2" s="2" t="s">
        <v>7</v>
      </c>
      <c r="B2" t="s">
        <v>8</v>
      </c>
      <c r="C2" t="s">
        <v>8</v>
      </c>
      <c r="D2" t="s">
        <v>9</v>
      </c>
      <c r="E2" t="s">
        <v>27</v>
      </c>
      <c r="F2" t="s">
        <v>10</v>
      </c>
      <c r="G2">
        <v>4</v>
      </c>
      <c r="H2" t="s">
        <v>16</v>
      </c>
    </row>
    <row r="3" spans="1:9" x14ac:dyDescent="0.3">
      <c r="A3" s="2" t="s">
        <v>11</v>
      </c>
      <c r="B3" t="s">
        <v>8</v>
      </c>
      <c r="C3" t="s">
        <v>8</v>
      </c>
      <c r="D3" t="s">
        <v>12</v>
      </c>
      <c r="E3" t="s">
        <v>27</v>
      </c>
      <c r="F3" t="s">
        <v>10</v>
      </c>
      <c r="G3">
        <v>1</v>
      </c>
      <c r="H3" t="s">
        <v>17</v>
      </c>
    </row>
    <row r="4" spans="1:9" x14ac:dyDescent="0.3">
      <c r="A4" t="s">
        <v>18</v>
      </c>
      <c r="B4" t="s">
        <v>20</v>
      </c>
      <c r="C4" t="s">
        <v>8</v>
      </c>
      <c r="D4" t="s">
        <v>12</v>
      </c>
      <c r="E4" t="s">
        <v>21</v>
      </c>
      <c r="F4" t="s">
        <v>10</v>
      </c>
      <c r="G4" t="s">
        <v>17</v>
      </c>
      <c r="I4" t="s">
        <v>94</v>
      </c>
    </row>
    <row r="5" spans="1:9" x14ac:dyDescent="0.3">
      <c r="A5" t="s">
        <v>22</v>
      </c>
      <c r="B5" t="s">
        <v>20</v>
      </c>
      <c r="C5" t="s">
        <v>8</v>
      </c>
      <c r="D5" t="s">
        <v>23</v>
      </c>
      <c r="E5" t="s">
        <v>21</v>
      </c>
      <c r="F5" t="s">
        <v>24</v>
      </c>
      <c r="G5" t="s">
        <v>17</v>
      </c>
      <c r="H5" t="s">
        <v>25</v>
      </c>
    </row>
    <row r="6" spans="1:9" x14ac:dyDescent="0.3">
      <c r="A6" t="s">
        <v>26</v>
      </c>
      <c r="B6" t="s">
        <v>8</v>
      </c>
      <c r="C6" t="s">
        <v>8</v>
      </c>
      <c r="D6" t="s">
        <v>9</v>
      </c>
      <c r="E6" t="s">
        <v>27</v>
      </c>
      <c r="F6" t="s">
        <v>10</v>
      </c>
      <c r="G6">
        <v>1</v>
      </c>
      <c r="I6" t="s">
        <v>29</v>
      </c>
    </row>
    <row r="7" spans="1:9" x14ac:dyDescent="0.3">
      <c r="A7" s="1" t="s">
        <v>32</v>
      </c>
      <c r="B7" t="s">
        <v>8</v>
      </c>
      <c r="C7" t="s">
        <v>8</v>
      </c>
      <c r="D7" t="s">
        <v>12</v>
      </c>
      <c r="E7" t="s">
        <v>21</v>
      </c>
      <c r="F7" t="s">
        <v>10</v>
      </c>
      <c r="G7">
        <v>4</v>
      </c>
      <c r="H7" t="s">
        <v>42</v>
      </c>
      <c r="I7" t="s">
        <v>33</v>
      </c>
    </row>
    <row r="8" spans="1:9" x14ac:dyDescent="0.3">
      <c r="A8" t="s">
        <v>35</v>
      </c>
      <c r="B8" t="s">
        <v>20</v>
      </c>
      <c r="C8" t="s">
        <v>8</v>
      </c>
      <c r="D8" t="s">
        <v>9</v>
      </c>
      <c r="E8" t="s">
        <v>21</v>
      </c>
      <c r="F8" t="s">
        <v>10</v>
      </c>
      <c r="G8" t="s">
        <v>17</v>
      </c>
      <c r="H8" t="s">
        <v>36</v>
      </c>
    </row>
    <row r="9" spans="1:9" x14ac:dyDescent="0.3">
      <c r="A9" t="s">
        <v>37</v>
      </c>
      <c r="B9" t="s">
        <v>20</v>
      </c>
      <c r="C9" t="s">
        <v>20</v>
      </c>
      <c r="D9" t="s">
        <v>9</v>
      </c>
      <c r="E9" t="s">
        <v>21</v>
      </c>
      <c r="F9" t="s">
        <v>10</v>
      </c>
      <c r="G9">
        <v>2</v>
      </c>
      <c r="H9" t="s">
        <v>39</v>
      </c>
    </row>
    <row r="10" spans="1:9" x14ac:dyDescent="0.3">
      <c r="A10" s="1" t="s">
        <v>40</v>
      </c>
      <c r="B10" t="s">
        <v>8</v>
      </c>
      <c r="C10" t="s">
        <v>8</v>
      </c>
      <c r="D10" t="s">
        <v>9</v>
      </c>
      <c r="E10" t="s">
        <v>21</v>
      </c>
      <c r="F10" t="s">
        <v>10</v>
      </c>
      <c r="G10">
        <v>4</v>
      </c>
      <c r="H10" t="s">
        <v>41</v>
      </c>
      <c r="I10" t="s">
        <v>88</v>
      </c>
    </row>
    <row r="11" spans="1:9" x14ac:dyDescent="0.3">
      <c r="A11" s="2" t="s">
        <v>45</v>
      </c>
      <c r="B11" t="s">
        <v>8</v>
      </c>
      <c r="C11" t="s">
        <v>8</v>
      </c>
      <c r="D11" t="s">
        <v>23</v>
      </c>
      <c r="E11" t="s">
        <v>27</v>
      </c>
      <c r="F11" t="s">
        <v>46</v>
      </c>
      <c r="G11">
        <v>1</v>
      </c>
      <c r="H11" t="s">
        <v>48</v>
      </c>
      <c r="I11" t="s">
        <v>47</v>
      </c>
    </row>
    <row r="12" spans="1:9" x14ac:dyDescent="0.3">
      <c r="A12" t="s">
        <v>50</v>
      </c>
      <c r="B12" t="s">
        <v>8</v>
      </c>
      <c r="C12" t="s">
        <v>79</v>
      </c>
      <c r="D12" t="s">
        <v>12</v>
      </c>
      <c r="E12" t="s">
        <v>60</v>
      </c>
      <c r="F12" t="s">
        <v>61</v>
      </c>
      <c r="G12">
        <v>4</v>
      </c>
      <c r="H12" t="s">
        <v>63</v>
      </c>
      <c r="I12" t="s">
        <v>62</v>
      </c>
    </row>
    <row r="13" spans="1:9" x14ac:dyDescent="0.3">
      <c r="A13" t="s">
        <v>51</v>
      </c>
      <c r="B13" t="s">
        <v>8</v>
      </c>
      <c r="C13" t="s">
        <v>8</v>
      </c>
      <c r="D13" t="s">
        <v>12</v>
      </c>
      <c r="E13" t="s">
        <v>60</v>
      </c>
      <c r="F13" t="s">
        <v>65</v>
      </c>
      <c r="G13">
        <v>1</v>
      </c>
      <c r="I13" t="s">
        <v>66</v>
      </c>
    </row>
    <row r="14" spans="1:9" x14ac:dyDescent="0.3">
      <c r="A14" s="1" t="s">
        <v>52</v>
      </c>
      <c r="B14" t="s">
        <v>8</v>
      </c>
      <c r="C14" t="s">
        <v>8</v>
      </c>
      <c r="D14" t="s">
        <v>12</v>
      </c>
      <c r="E14" t="s">
        <v>68</v>
      </c>
      <c r="F14" t="s">
        <v>69</v>
      </c>
      <c r="G14">
        <v>3</v>
      </c>
    </row>
    <row r="15" spans="1:9" x14ac:dyDescent="0.3">
      <c r="A15" s="2" t="s">
        <v>53</v>
      </c>
      <c r="B15" t="s">
        <v>8</v>
      </c>
      <c r="C15" t="s">
        <v>8</v>
      </c>
      <c r="D15" t="s">
        <v>12</v>
      </c>
      <c r="E15" t="s">
        <v>68</v>
      </c>
      <c r="F15" t="s">
        <v>61</v>
      </c>
      <c r="G15">
        <v>9</v>
      </c>
      <c r="I15" t="s">
        <v>71</v>
      </c>
    </row>
    <row r="16" spans="1:9" x14ac:dyDescent="0.3">
      <c r="A16" t="s">
        <v>54</v>
      </c>
      <c r="B16" t="s">
        <v>8</v>
      </c>
      <c r="C16" t="s">
        <v>8</v>
      </c>
      <c r="D16" t="s">
        <v>73</v>
      </c>
      <c r="E16" t="s">
        <v>60</v>
      </c>
      <c r="F16" t="s">
        <v>61</v>
      </c>
      <c r="G16">
        <v>6</v>
      </c>
      <c r="I16" t="s">
        <v>74</v>
      </c>
    </row>
    <row r="17" spans="1:9" x14ac:dyDescent="0.3">
      <c r="A17" s="1" t="s">
        <v>55</v>
      </c>
      <c r="B17" t="s">
        <v>8</v>
      </c>
      <c r="C17" t="s">
        <v>8</v>
      </c>
      <c r="D17" t="s">
        <v>12</v>
      </c>
      <c r="E17" t="s">
        <v>76</v>
      </c>
      <c r="F17" t="s">
        <v>77</v>
      </c>
      <c r="G17">
        <v>2</v>
      </c>
    </row>
    <row r="18" spans="1:9" x14ac:dyDescent="0.3">
      <c r="A18" t="s">
        <v>56</v>
      </c>
      <c r="B18" t="s">
        <v>8</v>
      </c>
      <c r="C18" t="s">
        <v>79</v>
      </c>
      <c r="D18" t="s">
        <v>80</v>
      </c>
      <c r="E18" t="s">
        <v>60</v>
      </c>
      <c r="F18" t="s">
        <v>81</v>
      </c>
      <c r="G18">
        <v>1</v>
      </c>
    </row>
    <row r="19" spans="1:9" x14ac:dyDescent="0.3">
      <c r="A19" s="1" t="s">
        <v>57</v>
      </c>
      <c r="B19" t="s">
        <v>8</v>
      </c>
      <c r="C19" t="s">
        <v>8</v>
      </c>
      <c r="D19" t="s">
        <v>9</v>
      </c>
      <c r="E19" t="s">
        <v>21</v>
      </c>
      <c r="F19" t="s">
        <v>10</v>
      </c>
      <c r="G19">
        <v>3</v>
      </c>
      <c r="I19" t="s">
        <v>82</v>
      </c>
    </row>
    <row r="20" spans="1:9" x14ac:dyDescent="0.3">
      <c r="A20" t="s">
        <v>58</v>
      </c>
      <c r="B20" t="s">
        <v>8</v>
      </c>
      <c r="C20" t="s">
        <v>8</v>
      </c>
      <c r="D20" t="s">
        <v>85</v>
      </c>
      <c r="E20" t="s">
        <v>86</v>
      </c>
      <c r="F20" t="s">
        <v>61</v>
      </c>
      <c r="G20">
        <v>1</v>
      </c>
    </row>
    <row r="21" spans="1:9" x14ac:dyDescent="0.3">
      <c r="A21" s="2" t="s">
        <v>59</v>
      </c>
      <c r="B21" t="s">
        <v>8</v>
      </c>
      <c r="C21" t="s">
        <v>8</v>
      </c>
      <c r="D21" t="s">
        <v>12</v>
      </c>
      <c r="E21" t="s">
        <v>60</v>
      </c>
      <c r="F21" t="s">
        <v>61</v>
      </c>
      <c r="G21">
        <v>6</v>
      </c>
      <c r="I21" t="s">
        <v>90</v>
      </c>
    </row>
    <row r="22" spans="1:9" x14ac:dyDescent="0.3">
      <c r="A22" t="s">
        <v>92</v>
      </c>
      <c r="B22" t="s">
        <v>8</v>
      </c>
      <c r="C22" t="s">
        <v>8</v>
      </c>
      <c r="D22" t="s">
        <v>12</v>
      </c>
      <c r="E22" t="s">
        <v>60</v>
      </c>
      <c r="F22" t="s">
        <v>61</v>
      </c>
      <c r="G22">
        <v>3</v>
      </c>
      <c r="I22" t="s">
        <v>93</v>
      </c>
    </row>
    <row r="23" spans="1:9" x14ac:dyDescent="0.3">
      <c r="A23" t="s">
        <v>96</v>
      </c>
      <c r="B23" t="s">
        <v>8</v>
      </c>
      <c r="C23" t="s">
        <v>8</v>
      </c>
      <c r="D23" t="s">
        <v>73</v>
      </c>
      <c r="E23" t="s">
        <v>21</v>
      </c>
      <c r="F23" t="s">
        <v>97</v>
      </c>
      <c r="G23">
        <v>3</v>
      </c>
      <c r="I23" t="s">
        <v>98</v>
      </c>
    </row>
    <row r="24" spans="1:9" x14ac:dyDescent="0.3">
      <c r="A24" t="s">
        <v>141</v>
      </c>
      <c r="B24" t="s">
        <v>8</v>
      </c>
      <c r="C24" t="s">
        <v>8</v>
      </c>
      <c r="D24" t="s">
        <v>12</v>
      </c>
      <c r="E24" t="s">
        <v>142</v>
      </c>
      <c r="F24" t="s">
        <v>143</v>
      </c>
      <c r="G24">
        <v>2</v>
      </c>
    </row>
    <row r="25" spans="1:9" x14ac:dyDescent="0.3">
      <c r="A25" t="s">
        <v>149</v>
      </c>
      <c r="B25" t="s">
        <v>8</v>
      </c>
      <c r="C25" t="s">
        <v>8</v>
      </c>
      <c r="D25" t="s">
        <v>12</v>
      </c>
      <c r="E25" t="s">
        <v>60</v>
      </c>
      <c r="F25" t="s">
        <v>65</v>
      </c>
      <c r="G25">
        <v>1</v>
      </c>
      <c r="I25" t="s">
        <v>150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EB08-7F9C-4993-9FEA-06DB810BF6D6}">
  <dimension ref="A1:T36"/>
  <sheetViews>
    <sheetView tabSelected="1" workbookViewId="0">
      <selection activeCell="R24" sqref="R24"/>
    </sheetView>
  </sheetViews>
  <sheetFormatPr defaultRowHeight="14.4" x14ac:dyDescent="0.3"/>
  <cols>
    <col min="2" max="2" width="14.6640625" bestFit="1" customWidth="1"/>
    <col min="3" max="3" width="10.88671875" bestFit="1" customWidth="1"/>
    <col min="4" max="4" width="9.33203125" bestFit="1" customWidth="1"/>
    <col min="5" max="5" width="9.88671875" bestFit="1" customWidth="1"/>
  </cols>
  <sheetData>
    <row r="1" spans="1:19" x14ac:dyDescent="0.3">
      <c r="A1" t="s">
        <v>99</v>
      </c>
      <c r="B1" t="s">
        <v>100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114</v>
      </c>
      <c r="Q1" t="s">
        <v>3</v>
      </c>
      <c r="R1" t="s">
        <v>120</v>
      </c>
      <c r="S1" t="s">
        <v>28</v>
      </c>
    </row>
    <row r="2" spans="1:19" x14ac:dyDescent="0.3">
      <c r="A2" t="s">
        <v>7</v>
      </c>
      <c r="B2" t="s">
        <v>116</v>
      </c>
      <c r="C2" s="3">
        <v>144681.56</v>
      </c>
      <c r="D2" s="3">
        <v>72561.58</v>
      </c>
      <c r="E2" s="3"/>
      <c r="F2" s="3"/>
      <c r="G2" s="3">
        <v>27000</v>
      </c>
      <c r="H2" s="3">
        <v>300000</v>
      </c>
      <c r="I2" s="4"/>
      <c r="J2" s="3">
        <v>6.4999999999999994E-5</v>
      </c>
      <c r="K2" s="3">
        <v>4.5000000000000003E-5</v>
      </c>
      <c r="L2" s="3"/>
      <c r="M2" s="3"/>
      <c r="N2" s="3">
        <v>9.9999999999999995E-7</v>
      </c>
      <c r="O2" s="3">
        <v>2.1000000000000001E-4</v>
      </c>
      <c r="P2" s="4"/>
      <c r="Q2" t="s">
        <v>119</v>
      </c>
      <c r="R2" t="s">
        <v>27</v>
      </c>
    </row>
    <row r="3" spans="1:19" x14ac:dyDescent="0.3">
      <c r="A3" t="s">
        <v>7</v>
      </c>
      <c r="B3" t="s">
        <v>117</v>
      </c>
      <c r="C3" s="3">
        <v>71106.025999999998</v>
      </c>
      <c r="D3" s="3">
        <v>70569.027000000002</v>
      </c>
      <c r="E3" s="3"/>
      <c r="F3" s="3"/>
      <c r="G3" s="3">
        <v>15000</v>
      </c>
      <c r="H3" s="3">
        <v>300000</v>
      </c>
      <c r="I3" s="4"/>
      <c r="J3" s="3">
        <v>6.0000000000000002E-5</v>
      </c>
      <c r="K3" s="3">
        <v>5.8E-5</v>
      </c>
      <c r="L3" s="3"/>
      <c r="M3" s="3"/>
      <c r="N3" s="3">
        <v>9.9999999999999995E-7</v>
      </c>
      <c r="O3" s="3">
        <v>2.1000000000000001E-4</v>
      </c>
      <c r="P3" s="4"/>
      <c r="Q3" t="s">
        <v>119</v>
      </c>
      <c r="R3" t="s">
        <v>27</v>
      </c>
    </row>
    <row r="4" spans="1:19" x14ac:dyDescent="0.3">
      <c r="A4" t="s">
        <v>7</v>
      </c>
      <c r="B4" t="s">
        <v>115</v>
      </c>
      <c r="C4" s="3">
        <v>75075.156000000003</v>
      </c>
      <c r="D4" s="3">
        <v>36279.279999999999</v>
      </c>
      <c r="E4" s="3"/>
      <c r="F4" s="3"/>
      <c r="G4" s="3">
        <v>7000</v>
      </c>
      <c r="H4" s="3">
        <v>150000</v>
      </c>
      <c r="I4" s="4"/>
      <c r="J4" s="3">
        <v>1.9000000000000001E-5</v>
      </c>
      <c r="K4" s="3">
        <v>1.7E-5</v>
      </c>
      <c r="L4" s="3"/>
      <c r="M4" s="3"/>
      <c r="N4" s="3">
        <v>9.9999999999999995E-7</v>
      </c>
      <c r="O4" s="3">
        <v>2.1000000000000001E-4</v>
      </c>
      <c r="P4" s="4"/>
      <c r="Q4" t="s">
        <v>119</v>
      </c>
      <c r="R4" t="s">
        <v>27</v>
      </c>
    </row>
    <row r="5" spans="1:19" x14ac:dyDescent="0.3">
      <c r="A5" t="s">
        <v>7</v>
      </c>
      <c r="B5" t="s">
        <v>118</v>
      </c>
      <c r="C5" s="3">
        <v>74949.740000000005</v>
      </c>
      <c r="D5" s="3">
        <v>36361.78</v>
      </c>
      <c r="E5" s="3"/>
      <c r="F5" s="3"/>
      <c r="G5" s="3">
        <v>9000</v>
      </c>
      <c r="H5" s="3">
        <v>150000</v>
      </c>
      <c r="I5" s="4"/>
      <c r="J5" s="3">
        <v>8.0000000000000007E-5</v>
      </c>
      <c r="K5" s="3">
        <v>7.1000000000000005E-5</v>
      </c>
      <c r="L5" s="3"/>
      <c r="M5" s="3"/>
      <c r="N5" s="3">
        <v>9.9999999999999995E-7</v>
      </c>
      <c r="O5" s="3">
        <v>2.1000000000000001E-4</v>
      </c>
      <c r="P5" s="4"/>
      <c r="Q5" t="s">
        <v>119</v>
      </c>
      <c r="R5" t="s">
        <v>27</v>
      </c>
    </row>
    <row r="6" spans="1:19" x14ac:dyDescent="0.3">
      <c r="A6" t="s">
        <v>11</v>
      </c>
      <c r="B6" t="s">
        <v>12</v>
      </c>
      <c r="C6" s="3">
        <v>47000</v>
      </c>
      <c r="D6" s="3">
        <v>4800</v>
      </c>
      <c r="E6" s="3"/>
      <c r="F6" s="3"/>
      <c r="G6" s="3">
        <v>37000</v>
      </c>
      <c r="H6" s="3">
        <v>56000</v>
      </c>
      <c r="I6" s="3"/>
      <c r="J6" s="3">
        <v>6.6799999999999997E-5</v>
      </c>
      <c r="K6" s="3">
        <v>3.65E-5</v>
      </c>
      <c r="L6" s="3"/>
      <c r="M6" s="3"/>
      <c r="N6" s="3">
        <v>6.9999999999999999E-6</v>
      </c>
      <c r="O6" s="3">
        <v>1.2799999999999999E-4</v>
      </c>
      <c r="P6" s="3"/>
      <c r="Q6" t="s">
        <v>12</v>
      </c>
      <c r="R6" t="s">
        <v>27</v>
      </c>
    </row>
    <row r="7" spans="1:19" x14ac:dyDescent="0.3">
      <c r="A7" t="s">
        <v>45</v>
      </c>
      <c r="B7" t="s">
        <v>23</v>
      </c>
      <c r="C7" s="3">
        <v>46500</v>
      </c>
      <c r="D7" s="3">
        <v>3900</v>
      </c>
      <c r="I7">
        <v>24</v>
      </c>
      <c r="J7" s="3">
        <v>8.3000000000000002E-6</v>
      </c>
      <c r="K7" s="3">
        <v>5.5999999999999997E-6</v>
      </c>
      <c r="L7" s="3">
        <v>7.0999999999999998E-6</v>
      </c>
      <c r="N7" s="3">
        <v>1.7999999999999999E-6</v>
      </c>
      <c r="O7" s="3">
        <v>2.02E-5</v>
      </c>
      <c r="P7">
        <v>23</v>
      </c>
      <c r="Q7" t="s">
        <v>23</v>
      </c>
      <c r="R7" t="s">
        <v>27</v>
      </c>
      <c r="S7" t="s">
        <v>121</v>
      </c>
    </row>
    <row r="8" spans="1:19" x14ac:dyDescent="0.3">
      <c r="A8" t="s">
        <v>53</v>
      </c>
      <c r="B8" t="s">
        <v>122</v>
      </c>
      <c r="C8" s="3">
        <v>1500</v>
      </c>
      <c r="J8" s="3">
        <v>6.9999999999999999E-4</v>
      </c>
      <c r="K8" s="3">
        <v>2.0000000000000001E-4</v>
      </c>
      <c r="N8" s="3">
        <v>4.0000000000000002E-4</v>
      </c>
      <c r="O8" s="3">
        <v>1E-3</v>
      </c>
      <c r="P8" s="3">
        <v>6</v>
      </c>
      <c r="Q8" t="s">
        <v>12</v>
      </c>
      <c r="R8" t="s">
        <v>142</v>
      </c>
      <c r="S8" t="s">
        <v>127</v>
      </c>
    </row>
    <row r="9" spans="1:19" x14ac:dyDescent="0.3">
      <c r="A9" t="s">
        <v>53</v>
      </c>
      <c r="B9" t="s">
        <v>123</v>
      </c>
      <c r="C9" s="3">
        <v>1500</v>
      </c>
      <c r="J9" s="3">
        <v>4.0000000000000002E-4</v>
      </c>
      <c r="K9" s="3">
        <v>2.0000000000000001E-4</v>
      </c>
      <c r="N9" s="3">
        <v>1E-4</v>
      </c>
      <c r="O9" s="3">
        <v>8.0000000000000004E-4</v>
      </c>
      <c r="P9" s="3">
        <v>8</v>
      </c>
      <c r="Q9" t="s">
        <v>12</v>
      </c>
      <c r="R9" t="s">
        <v>142</v>
      </c>
    </row>
    <row r="10" spans="1:19" x14ac:dyDescent="0.3">
      <c r="A10" t="s">
        <v>53</v>
      </c>
      <c r="B10" t="s">
        <v>124</v>
      </c>
      <c r="C10" s="3">
        <v>1500</v>
      </c>
      <c r="J10" s="3">
        <v>8.9999999999999998E-4</v>
      </c>
      <c r="N10" s="3">
        <v>2.9999999999999997E-4</v>
      </c>
      <c r="O10" s="3">
        <v>1700</v>
      </c>
      <c r="Q10" t="s">
        <v>12</v>
      </c>
      <c r="R10" t="s">
        <v>125</v>
      </c>
      <c r="S10" t="s">
        <v>126</v>
      </c>
    </row>
    <row r="11" spans="1:19" x14ac:dyDescent="0.3">
      <c r="A11" t="s">
        <v>59</v>
      </c>
      <c r="B11" t="s">
        <v>128</v>
      </c>
      <c r="C11" s="3">
        <v>25600</v>
      </c>
      <c r="D11" s="3">
        <v>3000</v>
      </c>
      <c r="J11" s="3">
        <v>2.33E-4</v>
      </c>
      <c r="K11" s="3">
        <v>2.09E-5</v>
      </c>
      <c r="Q11" t="s">
        <v>12</v>
      </c>
      <c r="R11" t="s">
        <v>60</v>
      </c>
      <c r="S11" t="s">
        <v>134</v>
      </c>
    </row>
    <row r="12" spans="1:19" x14ac:dyDescent="0.3">
      <c r="A12" t="s">
        <v>59</v>
      </c>
      <c r="B12" t="s">
        <v>129</v>
      </c>
      <c r="C12" s="3">
        <v>40800</v>
      </c>
      <c r="D12" s="3">
        <v>1500</v>
      </c>
      <c r="J12" s="3">
        <v>3.0300000000000001E-5</v>
      </c>
      <c r="K12" s="3">
        <v>1.7E-6</v>
      </c>
      <c r="Q12" t="s">
        <v>12</v>
      </c>
      <c r="R12" t="s">
        <v>60</v>
      </c>
    </row>
    <row r="13" spans="1:19" x14ac:dyDescent="0.3">
      <c r="A13" t="s">
        <v>59</v>
      </c>
      <c r="B13" t="s">
        <v>130</v>
      </c>
      <c r="C13" s="3">
        <v>36500</v>
      </c>
      <c r="D13" s="3">
        <v>1800</v>
      </c>
      <c r="J13" s="3">
        <v>4.0899999999999998E-5</v>
      </c>
      <c r="K13" s="3">
        <v>6.1E-6</v>
      </c>
      <c r="Q13" t="s">
        <v>12</v>
      </c>
      <c r="R13" t="s">
        <v>60</v>
      </c>
    </row>
    <row r="14" spans="1:19" x14ac:dyDescent="0.3">
      <c r="A14" t="s">
        <v>59</v>
      </c>
      <c r="B14" t="s">
        <v>131</v>
      </c>
      <c r="C14" s="3">
        <v>13600</v>
      </c>
      <c r="D14" s="3">
        <v>1100</v>
      </c>
      <c r="J14" s="3">
        <v>2.229E-4</v>
      </c>
      <c r="K14" s="3">
        <v>1.5999999999999999E-5</v>
      </c>
      <c r="Q14" t="s">
        <v>12</v>
      </c>
      <c r="R14" t="s">
        <v>60</v>
      </c>
    </row>
    <row r="15" spans="1:19" x14ac:dyDescent="0.3">
      <c r="A15" t="s">
        <v>59</v>
      </c>
      <c r="B15" t="s">
        <v>132</v>
      </c>
      <c r="C15" s="3">
        <v>22900</v>
      </c>
      <c r="D15" s="3">
        <v>300</v>
      </c>
      <c r="J15" s="3">
        <v>2.69E-5</v>
      </c>
      <c r="K15" s="3">
        <v>1.3E-6</v>
      </c>
      <c r="Q15" t="s">
        <v>12</v>
      </c>
      <c r="R15" t="s">
        <v>60</v>
      </c>
    </row>
    <row r="16" spans="1:19" x14ac:dyDescent="0.3">
      <c r="A16" t="s">
        <v>59</v>
      </c>
      <c r="B16" t="s">
        <v>133</v>
      </c>
      <c r="C16" s="3">
        <v>18700</v>
      </c>
      <c r="D16" s="3">
        <v>400</v>
      </c>
      <c r="J16" s="3">
        <v>3.7799999999999997E-5</v>
      </c>
      <c r="K16" s="3">
        <v>4.8999999999999997E-6</v>
      </c>
      <c r="Q16" t="s">
        <v>12</v>
      </c>
      <c r="R16" t="s">
        <v>60</v>
      </c>
    </row>
    <row r="17" spans="1:20" x14ac:dyDescent="0.3">
      <c r="A17" t="s">
        <v>55</v>
      </c>
      <c r="B17" t="s">
        <v>135</v>
      </c>
      <c r="C17" s="3">
        <v>3120</v>
      </c>
      <c r="D17" s="3">
        <v>150</v>
      </c>
      <c r="J17" s="3">
        <f>0.0000000955/$T$17</f>
        <v>9.5500000000000001E-4</v>
      </c>
      <c r="K17" s="3">
        <f>0.0000000425/$T$17</f>
        <v>4.2499999999999992E-4</v>
      </c>
      <c r="Q17" t="s">
        <v>12</v>
      </c>
      <c r="R17" t="s">
        <v>142</v>
      </c>
      <c r="T17" s="3">
        <v>1E-4</v>
      </c>
    </row>
    <row r="18" spans="1:20" x14ac:dyDescent="0.3">
      <c r="A18" t="s">
        <v>55</v>
      </c>
      <c r="B18" t="s">
        <v>136</v>
      </c>
      <c r="C18" s="3">
        <v>2660</v>
      </c>
      <c r="D18" s="3">
        <v>150</v>
      </c>
      <c r="E18" s="3"/>
      <c r="F18" s="3"/>
      <c r="G18" s="3"/>
      <c r="H18" s="3"/>
      <c r="J18" s="3">
        <f>0.0000000707/$T$17</f>
        <v>7.0700000000000005E-4</v>
      </c>
      <c r="K18" s="3">
        <f>0.0000000592/$T$17</f>
        <v>5.9199999999999997E-4</v>
      </c>
      <c r="Q18" t="s">
        <v>12</v>
      </c>
      <c r="R18" t="s">
        <v>142</v>
      </c>
    </row>
    <row r="19" spans="1:20" x14ac:dyDescent="0.3">
      <c r="A19" t="s">
        <v>55</v>
      </c>
      <c r="B19" t="s">
        <v>137</v>
      </c>
      <c r="C19" s="3">
        <v>2910</v>
      </c>
      <c r="D19" s="3">
        <v>220</v>
      </c>
      <c r="E19" s="3"/>
      <c r="F19" s="3"/>
      <c r="G19" s="3"/>
      <c r="H19" s="3"/>
      <c r="J19" s="3">
        <f>0.0000000407/$T$17</f>
        <v>4.0699999999999997E-4</v>
      </c>
      <c r="K19" s="3">
        <f>0.0000000124/$T$17</f>
        <v>1.2400000000000001E-4</v>
      </c>
      <c r="Q19" t="s">
        <v>12</v>
      </c>
      <c r="R19" t="s">
        <v>142</v>
      </c>
    </row>
    <row r="20" spans="1:20" x14ac:dyDescent="0.3">
      <c r="A20" t="s">
        <v>55</v>
      </c>
      <c r="B20" t="s">
        <v>138</v>
      </c>
      <c r="C20" s="3">
        <v>2920</v>
      </c>
      <c r="D20" s="3">
        <v>210</v>
      </c>
      <c r="E20" s="3"/>
      <c r="F20" s="3"/>
      <c r="J20" s="3">
        <f>0.0000001259/$T$17</f>
        <v>1.2590000000000001E-3</v>
      </c>
      <c r="K20" s="3">
        <f>0.0000000415/$T$17</f>
        <v>4.15E-4</v>
      </c>
      <c r="Q20" t="s">
        <v>12</v>
      </c>
      <c r="R20" t="s">
        <v>142</v>
      </c>
    </row>
    <row r="21" spans="1:20" x14ac:dyDescent="0.3">
      <c r="A21" t="s">
        <v>55</v>
      </c>
      <c r="B21" t="s">
        <v>139</v>
      </c>
      <c r="C21" s="3">
        <v>3090</v>
      </c>
      <c r="D21" s="3">
        <v>190</v>
      </c>
      <c r="J21" s="3">
        <f>0.0000001204/$T$17</f>
        <v>1.2039999999999998E-3</v>
      </c>
      <c r="K21" s="3">
        <f>0.0000000325/$T$17</f>
        <v>3.2499999999999999E-4</v>
      </c>
      <c r="Q21" t="s">
        <v>12</v>
      </c>
      <c r="R21" t="s">
        <v>142</v>
      </c>
    </row>
    <row r="22" spans="1:20" x14ac:dyDescent="0.3">
      <c r="A22" t="s">
        <v>141</v>
      </c>
      <c r="B22" t="s">
        <v>145</v>
      </c>
      <c r="C22" s="3">
        <v>222000</v>
      </c>
      <c r="D22" s="3">
        <v>133000</v>
      </c>
      <c r="F22" s="5"/>
      <c r="H22" s="3">
        <v>500000</v>
      </c>
      <c r="I22">
        <v>7</v>
      </c>
      <c r="J22" s="3">
        <v>2.6999999999999999E-5</v>
      </c>
      <c r="K22" s="3">
        <v>2.0000000000000002E-5</v>
      </c>
      <c r="N22" s="3">
        <v>9.9999999999999995E-7</v>
      </c>
      <c r="O22" s="3">
        <v>1E-4</v>
      </c>
      <c r="Q22" t="s">
        <v>12</v>
      </c>
      <c r="R22" t="s">
        <v>164</v>
      </c>
      <c r="S22" t="s">
        <v>144</v>
      </c>
    </row>
    <row r="23" spans="1:20" x14ac:dyDescent="0.3">
      <c r="A23" t="s">
        <v>141</v>
      </c>
      <c r="B23" t="s">
        <v>146</v>
      </c>
      <c r="C23" s="3">
        <v>143000</v>
      </c>
      <c r="D23" s="3">
        <v>76000</v>
      </c>
      <c r="H23" s="3">
        <v>500000</v>
      </c>
      <c r="J23" s="3">
        <v>1.2E-5</v>
      </c>
      <c r="K23" s="3">
        <v>1.1E-5</v>
      </c>
      <c r="N23" s="3">
        <v>9.9999999999999995E-7</v>
      </c>
      <c r="O23" s="3">
        <v>1E-4</v>
      </c>
      <c r="Q23" t="s">
        <v>12</v>
      </c>
      <c r="R23" t="s">
        <v>164</v>
      </c>
    </row>
    <row r="24" spans="1:20" x14ac:dyDescent="0.3">
      <c r="A24" t="s">
        <v>149</v>
      </c>
      <c r="B24" t="s">
        <v>163</v>
      </c>
      <c r="C24" s="3">
        <v>5100</v>
      </c>
      <c r="D24" s="3">
        <v>1770</v>
      </c>
      <c r="G24" s="3">
        <v>300</v>
      </c>
      <c r="H24" s="3">
        <v>7400</v>
      </c>
      <c r="I24" s="3">
        <v>60</v>
      </c>
      <c r="J24" s="3">
        <v>2.5119999999999998E-4</v>
      </c>
      <c r="K24" s="3">
        <v>1.9650000000000001E-4</v>
      </c>
      <c r="N24" s="3">
        <v>3.6000000000000001E-5</v>
      </c>
      <c r="O24" s="3">
        <v>6.7699999999999998E-4</v>
      </c>
      <c r="P24" s="3">
        <v>55</v>
      </c>
      <c r="Q24" t="s">
        <v>12</v>
      </c>
      <c r="R24" t="s">
        <v>60</v>
      </c>
    </row>
    <row r="32" spans="1:20" x14ac:dyDescent="0.3">
      <c r="K32" s="3"/>
      <c r="L32" s="3"/>
      <c r="R32" s="3"/>
      <c r="S32" s="3"/>
    </row>
    <row r="33" spans="11:19" x14ac:dyDescent="0.3">
      <c r="K33" s="3"/>
      <c r="L33" s="3"/>
      <c r="M33" s="3"/>
      <c r="N33" s="3"/>
      <c r="O33" s="3"/>
      <c r="P33" s="3"/>
      <c r="R33" s="3"/>
      <c r="S33" s="3"/>
    </row>
    <row r="34" spans="11:19" x14ac:dyDescent="0.3">
      <c r="K34" s="3"/>
      <c r="L34" s="3"/>
      <c r="M34" s="3"/>
      <c r="N34" s="3"/>
      <c r="O34" s="3"/>
      <c r="P34" s="3"/>
      <c r="R34" s="3"/>
      <c r="S34" s="3"/>
    </row>
    <row r="35" spans="11:19" x14ac:dyDescent="0.3">
      <c r="K35" s="3"/>
      <c r="L35" s="3"/>
      <c r="M35" s="3"/>
      <c r="N35" s="3"/>
      <c r="R35" s="3"/>
      <c r="S35" s="3"/>
    </row>
    <row r="36" spans="11:19" x14ac:dyDescent="0.3">
      <c r="K36" s="3"/>
      <c r="L36" s="3"/>
      <c r="R36" s="3"/>
      <c r="S3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C1E2-1201-484F-ACFF-1203DF41B277}">
  <dimension ref="A1:B25"/>
  <sheetViews>
    <sheetView workbookViewId="0">
      <selection activeCell="A13" sqref="A13"/>
    </sheetView>
  </sheetViews>
  <sheetFormatPr defaultRowHeight="14.4" x14ac:dyDescent="0.3"/>
  <sheetData>
    <row r="1" spans="1:2" x14ac:dyDescent="0.3">
      <c r="A1">
        <v>1</v>
      </c>
      <c r="B1" t="s">
        <v>15</v>
      </c>
    </row>
    <row r="2" spans="1:2" x14ac:dyDescent="0.3">
      <c r="A2">
        <v>2</v>
      </c>
      <c r="B2" t="s">
        <v>13</v>
      </c>
    </row>
    <row r="3" spans="1:2" x14ac:dyDescent="0.3">
      <c r="A3">
        <v>3</v>
      </c>
      <c r="B3" t="s">
        <v>19</v>
      </c>
    </row>
    <row r="4" spans="1:2" x14ac:dyDescent="0.3">
      <c r="A4">
        <v>4</v>
      </c>
      <c r="B4" t="s">
        <v>30</v>
      </c>
    </row>
    <row r="5" spans="1:2" x14ac:dyDescent="0.3">
      <c r="A5">
        <v>5</v>
      </c>
      <c r="B5" t="s">
        <v>31</v>
      </c>
    </row>
    <row r="6" spans="1:2" x14ac:dyDescent="0.3">
      <c r="A6">
        <v>6</v>
      </c>
      <c r="B6" t="s">
        <v>34</v>
      </c>
    </row>
    <row r="7" spans="1:2" x14ac:dyDescent="0.3">
      <c r="A7">
        <v>7</v>
      </c>
      <c r="B7" t="s">
        <v>43</v>
      </c>
    </row>
    <row r="8" spans="1:2" x14ac:dyDescent="0.3">
      <c r="A8">
        <v>8</v>
      </c>
      <c r="B8" t="s">
        <v>38</v>
      </c>
    </row>
    <row r="9" spans="1:2" x14ac:dyDescent="0.3">
      <c r="A9">
        <v>9</v>
      </c>
      <c r="B9" t="s">
        <v>87</v>
      </c>
    </row>
    <row r="10" spans="1:2" x14ac:dyDescent="0.3">
      <c r="A10">
        <v>10</v>
      </c>
      <c r="B10" t="s">
        <v>44</v>
      </c>
    </row>
    <row r="11" spans="1:2" x14ac:dyDescent="0.3">
      <c r="A11">
        <v>11</v>
      </c>
      <c r="B11" t="s">
        <v>49</v>
      </c>
    </row>
    <row r="12" spans="1:2" x14ac:dyDescent="0.3">
      <c r="A12">
        <v>12</v>
      </c>
      <c r="B12" t="s">
        <v>64</v>
      </c>
    </row>
    <row r="13" spans="1:2" x14ac:dyDescent="0.3">
      <c r="A13">
        <v>13</v>
      </c>
      <c r="B13" t="s">
        <v>67</v>
      </c>
    </row>
    <row r="14" spans="1:2" x14ac:dyDescent="0.3">
      <c r="A14">
        <v>14</v>
      </c>
      <c r="B14" t="s">
        <v>70</v>
      </c>
    </row>
    <row r="15" spans="1:2" x14ac:dyDescent="0.3">
      <c r="A15">
        <v>15</v>
      </c>
      <c r="B15" t="s">
        <v>72</v>
      </c>
    </row>
    <row r="16" spans="1:2" x14ac:dyDescent="0.3">
      <c r="A16">
        <v>16</v>
      </c>
      <c r="B16" t="s">
        <v>75</v>
      </c>
    </row>
    <row r="17" spans="1:2" x14ac:dyDescent="0.3">
      <c r="A17">
        <v>17</v>
      </c>
      <c r="B17" t="s">
        <v>78</v>
      </c>
    </row>
    <row r="18" spans="1:2" x14ac:dyDescent="0.3">
      <c r="A18">
        <v>18</v>
      </c>
      <c r="B18" t="s">
        <v>83</v>
      </c>
    </row>
    <row r="19" spans="1:2" x14ac:dyDescent="0.3">
      <c r="A19">
        <v>19</v>
      </c>
      <c r="B19" t="s">
        <v>84</v>
      </c>
    </row>
    <row r="20" spans="1:2" x14ac:dyDescent="0.3">
      <c r="A20">
        <v>20</v>
      </c>
      <c r="B20" t="s">
        <v>89</v>
      </c>
    </row>
    <row r="21" spans="1:2" x14ac:dyDescent="0.3">
      <c r="A21">
        <v>21</v>
      </c>
      <c r="B21" t="s">
        <v>91</v>
      </c>
    </row>
    <row r="22" spans="1:2" x14ac:dyDescent="0.3">
      <c r="A22">
        <v>22</v>
      </c>
      <c r="B22" t="s">
        <v>95</v>
      </c>
    </row>
    <row r="23" spans="1:2" x14ac:dyDescent="0.3">
      <c r="A23">
        <v>23</v>
      </c>
      <c r="B23" t="s">
        <v>140</v>
      </c>
    </row>
    <row r="24" spans="1:2" x14ac:dyDescent="0.3">
      <c r="A24">
        <v>24</v>
      </c>
      <c r="B24" t="s">
        <v>147</v>
      </c>
    </row>
    <row r="25" spans="1:2" x14ac:dyDescent="0.3">
      <c r="A25">
        <v>25</v>
      </c>
      <c r="B25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D23B-850A-4590-A1BF-35EB1AC7C6E1}">
  <dimension ref="A1:A13"/>
  <sheetViews>
    <sheetView workbookViewId="0">
      <selection activeCell="B5" sqref="B5"/>
    </sheetView>
  </sheetViews>
  <sheetFormatPr defaultRowHeight="14.4" x14ac:dyDescent="0.3"/>
  <cols>
    <col min="1" max="1" width="56.6640625" customWidth="1"/>
  </cols>
  <sheetData>
    <row r="1" spans="1:1" x14ac:dyDescent="0.3">
      <c r="A1" t="s">
        <v>162</v>
      </c>
    </row>
    <row r="2" spans="1:1" x14ac:dyDescent="0.3">
      <c r="A2" t="s">
        <v>155</v>
      </c>
    </row>
    <row r="3" spans="1:1" x14ac:dyDescent="0.3">
      <c r="A3" t="s">
        <v>151</v>
      </c>
    </row>
    <row r="4" spans="1:1" x14ac:dyDescent="0.3">
      <c r="A4" t="s">
        <v>152</v>
      </c>
    </row>
    <row r="5" spans="1:1" x14ac:dyDescent="0.3">
      <c r="A5" t="s">
        <v>153</v>
      </c>
    </row>
    <row r="6" spans="1:1" x14ac:dyDescent="0.3">
      <c r="A6" t="s">
        <v>154</v>
      </c>
    </row>
    <row r="8" spans="1:1" x14ac:dyDescent="0.3">
      <c r="A8" t="s">
        <v>161</v>
      </c>
    </row>
    <row r="9" spans="1:1" x14ac:dyDescent="0.3">
      <c r="A9" t="s">
        <v>156</v>
      </c>
    </row>
    <row r="10" spans="1:1" x14ac:dyDescent="0.3">
      <c r="A10" t="s">
        <v>157</v>
      </c>
    </row>
    <row r="11" spans="1:1" x14ac:dyDescent="0.3">
      <c r="A11" t="s">
        <v>158</v>
      </c>
    </row>
    <row r="12" spans="1:1" x14ac:dyDescent="0.3">
      <c r="A12" t="s">
        <v>159</v>
      </c>
    </row>
    <row r="13" spans="1:1" x14ac:dyDescent="0.3">
      <c r="A13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DataSets</vt:lpstr>
      <vt:lpstr>References</vt:lpstr>
      <vt:lpstr>25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 Varkevisser</dc:creator>
  <cp:lastModifiedBy>Francesc Varkevisser</cp:lastModifiedBy>
  <dcterms:created xsi:type="dcterms:W3CDTF">2024-07-29T08:35:48Z</dcterms:created>
  <dcterms:modified xsi:type="dcterms:W3CDTF">2024-10-14T11:26:31Z</dcterms:modified>
</cp:coreProperties>
</file>